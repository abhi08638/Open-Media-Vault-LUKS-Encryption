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"/>
    </mc:Choice>
  </mc:AlternateContent>
  <xr:revisionPtr revIDLastSave="0" documentId="13_ncr:1_{6160536D-1065-4CE6-90DC-970502796633}" xr6:coauthVersionLast="47" xr6:coauthVersionMax="47" xr10:uidLastSave="{00000000-0000-0000-0000-000000000000}"/>
  <bookViews>
    <workbookView xWindow="-108" yWindow="-108" windowWidth="23256" windowHeight="12456" xr2:uid="{A2A4E3D4-3779-4C7B-8AC6-2EE92655386F}"/>
  </bookViews>
  <sheets>
    <sheet name="Drive Encryption Steps" sheetId="2" r:id="rId1"/>
    <sheet name="File Migration Command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20" i="1" s="1"/>
  <c r="C32" i="2"/>
  <c r="C28" i="2"/>
  <c r="C25" i="2"/>
  <c r="D18" i="1" l="1"/>
  <c r="D19" i="1"/>
  <c r="D17" i="1"/>
</calcChain>
</file>

<file path=xl/sharedStrings.xml><?xml version="1.0" encoding="utf-8"?>
<sst xmlns="http://schemas.openxmlformats.org/spreadsheetml/2006/main" count="54" uniqueCount="51">
  <si>
    <t>File System UUID</t>
  </si>
  <si>
    <t>sda-crypt UUID</t>
  </si>
  <si>
    <t>Original Share Name</t>
  </si>
  <si>
    <t>Wipe Drive Headers using wipe in Storage &gt; Physical Disk</t>
  </si>
  <si>
    <t>In Storage do the following for all data and parity drives:</t>
  </si>
  <si>
    <t>SSH into OMV</t>
  </si>
  <si>
    <t>Go to Encryption &gt; Create &gt; Select drive</t>
  </si>
  <si>
    <t>Set encryption passphrase &gt; Create</t>
  </si>
  <si>
    <t>Unlock drive</t>
  </si>
  <si>
    <t>Set additional encryption passphrase &gt; Create</t>
  </si>
  <si>
    <t>Backup all encryption headers: Encryption &gt; Select drive &gt; Recovery &gt; Backup</t>
  </si>
  <si>
    <t>Make sure user has _ssh group and ssh service is enabled</t>
  </si>
  <si>
    <t>sudo cd /etc</t>
  </si>
  <si>
    <t>mkdir luks-keys</t>
  </si>
  <si>
    <t>cd luks-keys</t>
  </si>
  <si>
    <t>sudo nano wdkey</t>
  </si>
  <si>
    <t>sudo dd if=/dev/urandom of=/etc/luks-keys/wdkey bs=1024 count=4</t>
  </si>
  <si>
    <t>sudo chmod 0400 /etc/luks-keys/wdkey</t>
  </si>
  <si>
    <t>Generate keyfile (skip if already present)</t>
  </si>
  <si>
    <t>Enter first encryption passphrase in slot 0 because crypttab will try each passphrase sequentially until it works or RAM runs out</t>
  </si>
  <si>
    <t>create /etc/crypttab (or edit if already exists)</t>
  </si>
  <si>
    <t>You can also find this in the filename of the downloaded header backup of the drive under encryption</t>
  </si>
  <si>
    <t xml:space="preserve">Use "/sbin/blkid" to get uuid </t>
  </si>
  <si>
    <t>sudo nano /etc/crypttab</t>
  </si>
  <si>
    <t>Drive Mount</t>
  </si>
  <si>
    <t>sdb</t>
  </si>
  <si>
    <t>sudo chmod 400 /etc/crypttab</t>
  </si>
  <si>
    <t>Reboot System</t>
  </si>
  <si>
    <t>Create file system</t>
  </si>
  <si>
    <t>Create new filesystem for encrypted drive from Storage &gt; File systems &gt; Create</t>
  </si>
  <si>
    <t>Mount filesystem</t>
  </si>
  <si>
    <t>SSH into OMV and run below command to rename</t>
  </si>
  <si>
    <t>Note down Filesystem UUID for use in File Migration Commands (can also be found after creating a shared Folder)</t>
  </si>
  <si>
    <t>Change orignal shared folder to use encrypted drive</t>
  </si>
  <si>
    <t>Instructions</t>
  </si>
  <si>
    <t>Variables</t>
  </si>
  <si>
    <t>Add key to a LUKS slot (command updates based on variables above)</t>
  </si>
  <si>
    <t>This tab is used for migrating the files from one drive/share to another drive while maintaining the original shared folder names</t>
  </si>
  <si>
    <t>xxxxxxxx-xxxx-xxxx-xxxx-xxxxxxxxxxxx</t>
  </si>
  <si>
    <t>Original-Share</t>
  </si>
  <si>
    <t>Temp Share Name</t>
  </si>
  <si>
    <t>Source is Original Share</t>
  </si>
  <si>
    <t>Create new shared folder using "Temp Share Name" above on the drive you want to migrate the data to</t>
  </si>
  <si>
    <t>Destination is Temp Share</t>
  </si>
  <si>
    <t>Check the following 
 - Archive Mode
 - Recurse into directories
 - Preserve Permissions
 - Preserve Modification Times 
 - Preserve Group
 - Preserve Owner
 - Preserve ACLS
 - Preserve Extended Attributes
Extra Options 
  - none (do not use "--relative")</t>
  </si>
  <si>
    <t>Run rsync job</t>
  </si>
  <si>
    <t>Create rsync job and apply changes</t>
  </si>
  <si>
    <t>delete temp shared folder and apply changes</t>
  </si>
  <si>
    <t>Rename temp share</t>
  </si>
  <si>
    <t>If the original share name exists on the new drive already and previous command nests the temp share under the original share name</t>
  </si>
  <si>
    <t>This tab is used for encrpyting a drive with LUKS and then having it auto-unlock on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</si>
</sst>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0" borderId="0" xfId="0" applyFont="1"/>
    <xf numFmtId="0" fontId="0" fillId="5" borderId="0" xfId="0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3" fillId="6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D681-D67A-4995-A372-9BD33B2988E0}">
  <dimension ref="A1:C38"/>
  <sheetViews>
    <sheetView tabSelected="1" workbookViewId="0">
      <selection activeCell="A2" sqref="A2"/>
    </sheetView>
  </sheetViews>
  <sheetFormatPr defaultRowHeight="14.4" x14ac:dyDescent="0.3"/>
  <cols>
    <col min="1" max="1" width="3" style="4" bestFit="1" customWidth="1"/>
    <col min="2" max="2" width="40.33203125" style="1" customWidth="1"/>
    <col min="3" max="3" width="79.21875" style="1" customWidth="1"/>
  </cols>
  <sheetData>
    <row r="1" spans="1:3" ht="18" customHeight="1" x14ac:dyDescent="0.35">
      <c r="A1" s="17" t="s">
        <v>50</v>
      </c>
      <c r="B1" s="17"/>
      <c r="C1" s="17"/>
    </row>
    <row r="3" spans="1:3" x14ac:dyDescent="0.3">
      <c r="A3" s="14" t="s">
        <v>35</v>
      </c>
      <c r="B3" s="14"/>
      <c r="C3" s="14"/>
    </row>
    <row r="4" spans="1:3" x14ac:dyDescent="0.3">
      <c r="A4" s="13" t="s">
        <v>24</v>
      </c>
      <c r="B4" s="13"/>
      <c r="C4" s="6" t="s">
        <v>25</v>
      </c>
    </row>
    <row r="5" spans="1:3" x14ac:dyDescent="0.3">
      <c r="A5" s="13" t="s">
        <v>1</v>
      </c>
      <c r="B5" s="13"/>
      <c r="C5" s="6" t="s">
        <v>38</v>
      </c>
    </row>
    <row r="7" spans="1:3" x14ac:dyDescent="0.3">
      <c r="A7" s="14" t="s">
        <v>34</v>
      </c>
      <c r="B7" s="14"/>
      <c r="C7" s="14"/>
    </row>
    <row r="8" spans="1:3" ht="43.2" x14ac:dyDescent="0.3">
      <c r="A8" s="5">
        <v>1</v>
      </c>
      <c r="B8" s="1" t="s">
        <v>3</v>
      </c>
    </row>
    <row r="9" spans="1:3" ht="43.2" x14ac:dyDescent="0.3">
      <c r="A9" s="5">
        <v>2</v>
      </c>
      <c r="B9" s="1" t="s">
        <v>4</v>
      </c>
    </row>
    <row r="10" spans="1:3" x14ac:dyDescent="0.3">
      <c r="A10" s="5"/>
      <c r="B10" s="12"/>
      <c r="C10" s="1" t="s">
        <v>6</v>
      </c>
    </row>
    <row r="11" spans="1:3" x14ac:dyDescent="0.3">
      <c r="A11" s="5"/>
      <c r="B11" s="12"/>
      <c r="C11" s="1" t="s">
        <v>7</v>
      </c>
    </row>
    <row r="12" spans="1:3" x14ac:dyDescent="0.3">
      <c r="A12" s="5"/>
      <c r="B12" s="12"/>
      <c r="C12" s="1" t="s">
        <v>8</v>
      </c>
    </row>
    <row r="13" spans="1:3" x14ac:dyDescent="0.3">
      <c r="A13" s="5"/>
      <c r="B13" s="12"/>
      <c r="C13" s="1" t="s">
        <v>9</v>
      </c>
    </row>
    <row r="14" spans="1:3" x14ac:dyDescent="0.3">
      <c r="A14" s="5"/>
      <c r="B14" s="12"/>
      <c r="C14" s="1" t="s">
        <v>10</v>
      </c>
    </row>
    <row r="15" spans="1:3" x14ac:dyDescent="0.3">
      <c r="A15" s="5">
        <v>3</v>
      </c>
      <c r="B15" s="1" t="s">
        <v>5</v>
      </c>
    </row>
    <row r="16" spans="1:3" x14ac:dyDescent="0.3">
      <c r="A16" s="5"/>
      <c r="C16" s="1" t="s">
        <v>11</v>
      </c>
    </row>
    <row r="17" spans="1:3" ht="28.8" x14ac:dyDescent="0.3">
      <c r="A17" s="5">
        <v>4</v>
      </c>
      <c r="B17" s="1" t="s">
        <v>18</v>
      </c>
    </row>
    <row r="18" spans="1:3" x14ac:dyDescent="0.3">
      <c r="A18" s="5"/>
      <c r="B18" s="15"/>
      <c r="C18" s="1" t="s">
        <v>12</v>
      </c>
    </row>
    <row r="19" spans="1:3" x14ac:dyDescent="0.3">
      <c r="A19" s="5"/>
      <c r="B19" s="15"/>
      <c r="C19" s="1" t="s">
        <v>13</v>
      </c>
    </row>
    <row r="20" spans="1:3" x14ac:dyDescent="0.3">
      <c r="A20" s="5"/>
      <c r="B20" s="15"/>
      <c r="C20" s="1" t="s">
        <v>14</v>
      </c>
    </row>
    <row r="21" spans="1:3" x14ac:dyDescent="0.3">
      <c r="A21" s="5"/>
      <c r="B21" s="15"/>
      <c r="C21" s="1" t="s">
        <v>15</v>
      </c>
    </row>
    <row r="22" spans="1:3" x14ac:dyDescent="0.3">
      <c r="A22" s="5"/>
      <c r="B22" s="15"/>
      <c r="C22" s="1" t="s">
        <v>16</v>
      </c>
    </row>
    <row r="23" spans="1:3" x14ac:dyDescent="0.3">
      <c r="A23" s="5"/>
      <c r="B23" s="15"/>
      <c r="C23" s="1" t="s">
        <v>17</v>
      </c>
    </row>
    <row r="24" spans="1:3" ht="43.2" x14ac:dyDescent="0.3">
      <c r="A24" s="5">
        <v>5</v>
      </c>
      <c r="B24" s="1" t="s">
        <v>36</v>
      </c>
    </row>
    <row r="25" spans="1:3" x14ac:dyDescent="0.3">
      <c r="A25" s="5"/>
      <c r="B25" s="12"/>
      <c r="C25" s="1" t="str">
        <f>_xlfn.CONCAT("sudo cryptsetup -v luksAddKey /dev/",C4," /etc/luks-keys/wdkey")</f>
        <v>sudo cryptsetup -v luksAddKey /dev/sdb /etc/luks-keys/wdkey</v>
      </c>
    </row>
    <row r="26" spans="1:3" ht="28.8" x14ac:dyDescent="0.3">
      <c r="A26" s="5"/>
      <c r="B26" s="12"/>
      <c r="C26" s="1" t="s">
        <v>19</v>
      </c>
    </row>
    <row r="27" spans="1:3" x14ac:dyDescent="0.3">
      <c r="A27" s="5">
        <v>6</v>
      </c>
      <c r="B27" s="1" t="s">
        <v>22</v>
      </c>
    </row>
    <row r="28" spans="1:3" x14ac:dyDescent="0.3">
      <c r="A28" s="5"/>
      <c r="B28" s="12"/>
      <c r="C28" s="1" t="str">
        <f>_xlfn.CONCAT("Use uuid of /dev/",C4," ones, not /dev/mapper/",C4,"-crypt). No new line at the end.")</f>
        <v>Use uuid of /dev/sdb ones, not /dev/mapper/sdb-crypt). No new line at the end.</v>
      </c>
    </row>
    <row r="29" spans="1:3" ht="28.8" x14ac:dyDescent="0.3">
      <c r="A29" s="5"/>
      <c r="B29" s="12"/>
      <c r="C29" s="1" t="s">
        <v>21</v>
      </c>
    </row>
    <row r="30" spans="1:3" x14ac:dyDescent="0.3">
      <c r="A30" s="5">
        <v>7</v>
      </c>
      <c r="B30" s="1" t="s">
        <v>20</v>
      </c>
    </row>
    <row r="31" spans="1:3" x14ac:dyDescent="0.3">
      <c r="A31" s="5"/>
      <c r="B31" s="12"/>
      <c r="C31" s="1" t="s">
        <v>23</v>
      </c>
    </row>
    <row r="32" spans="1:3" x14ac:dyDescent="0.3">
      <c r="A32" s="5"/>
      <c r="B32" s="12"/>
      <c r="C32" s="1" t="str">
        <f>_xlfn.CONCAT(C4,"-crypt UUID=",C5," /etc/luks-keys/wdkey luks")</f>
        <v>sdb-crypt UUID=xxxxxxxx-xxxx-xxxx-xxxx-xxxxxxxxxxxx /etc/luks-keys/wdkey luks</v>
      </c>
    </row>
    <row r="33" spans="1:3" x14ac:dyDescent="0.3">
      <c r="A33" s="5"/>
      <c r="B33" s="12"/>
      <c r="C33" s="1" t="s">
        <v>26</v>
      </c>
    </row>
    <row r="34" spans="1:3" x14ac:dyDescent="0.3">
      <c r="A34" s="5">
        <v>8</v>
      </c>
      <c r="B34" s="1" t="s">
        <v>27</v>
      </c>
    </row>
    <row r="35" spans="1:3" x14ac:dyDescent="0.3">
      <c r="A35" s="5">
        <v>9</v>
      </c>
      <c r="B35" s="1" t="s">
        <v>28</v>
      </c>
    </row>
    <row r="36" spans="1:3" x14ac:dyDescent="0.3">
      <c r="A36" s="5"/>
      <c r="B36" s="12"/>
      <c r="C36" s="1" t="s">
        <v>29</v>
      </c>
    </row>
    <row r="37" spans="1:3" x14ac:dyDescent="0.3">
      <c r="A37" s="5"/>
      <c r="B37" s="12"/>
      <c r="C37" s="1" t="s">
        <v>30</v>
      </c>
    </row>
    <row r="38" spans="1:3" ht="28.8" x14ac:dyDescent="0.3">
      <c r="A38" s="5"/>
      <c r="B38" s="12"/>
      <c r="C38" s="1" t="s">
        <v>32</v>
      </c>
    </row>
  </sheetData>
  <mergeCells count="11">
    <mergeCell ref="A1:C1"/>
    <mergeCell ref="A3:C3"/>
    <mergeCell ref="B10:B14"/>
    <mergeCell ref="B18:B23"/>
    <mergeCell ref="B25:B26"/>
    <mergeCell ref="B28:B29"/>
    <mergeCell ref="B31:B33"/>
    <mergeCell ref="B36:B38"/>
    <mergeCell ref="A4:B4"/>
    <mergeCell ref="A5:B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5F4A-5C3C-456C-A7D2-5AD39C5EB6C1}">
  <dimension ref="A1:D21"/>
  <sheetViews>
    <sheetView workbookViewId="0">
      <selection sqref="A1:XFD1"/>
    </sheetView>
  </sheetViews>
  <sheetFormatPr defaultRowHeight="14.4" x14ac:dyDescent="0.3"/>
  <cols>
    <col min="1" max="1" width="3.21875" customWidth="1"/>
    <col min="2" max="2" width="43.5546875" style="1" bestFit="1" customWidth="1"/>
    <col min="3" max="3" width="35.21875" customWidth="1"/>
    <col min="4" max="4" width="139.77734375" bestFit="1" customWidth="1"/>
  </cols>
  <sheetData>
    <row r="1" spans="1:4" ht="18" customHeight="1" x14ac:dyDescent="0.35">
      <c r="A1" s="17" t="s">
        <v>37</v>
      </c>
      <c r="B1" s="17"/>
      <c r="C1" s="17"/>
    </row>
    <row r="2" spans="1:4" s="7" customFormat="1" x14ac:dyDescent="0.3">
      <c r="B2" s="3"/>
      <c r="C2" s="3"/>
    </row>
    <row r="3" spans="1:4" x14ac:dyDescent="0.3">
      <c r="A3" s="14" t="s">
        <v>35</v>
      </c>
      <c r="B3" s="14"/>
      <c r="C3" s="14"/>
    </row>
    <row r="4" spans="1:4" x14ac:dyDescent="0.3">
      <c r="A4" s="18" t="s">
        <v>0</v>
      </c>
      <c r="B4" s="18"/>
      <c r="C4" s="8" t="s">
        <v>38</v>
      </c>
    </row>
    <row r="5" spans="1:4" x14ac:dyDescent="0.3">
      <c r="A5" s="18" t="s">
        <v>2</v>
      </c>
      <c r="B5" s="18"/>
      <c r="C5" s="8" t="s">
        <v>39</v>
      </c>
    </row>
    <row r="6" spans="1:4" x14ac:dyDescent="0.3">
      <c r="A6" s="18" t="s">
        <v>40</v>
      </c>
      <c r="B6" s="18"/>
      <c r="C6" s="8" t="str">
        <f>_xlfn.CONCAT(C5,"-Temp")</f>
        <v>Original-Share-Temp</v>
      </c>
    </row>
    <row r="8" spans="1:4" x14ac:dyDescent="0.3">
      <c r="A8" s="9" t="s">
        <v>34</v>
      </c>
      <c r="B8" s="14"/>
      <c r="C8" s="14"/>
      <c r="D8" s="9"/>
    </row>
    <row r="9" spans="1:4" ht="43.2" x14ac:dyDescent="0.3">
      <c r="A9" s="10">
        <v>1</v>
      </c>
      <c r="B9" s="1" t="s">
        <v>42</v>
      </c>
    </row>
    <row r="10" spans="1:4" x14ac:dyDescent="0.3">
      <c r="A10" s="10">
        <v>2</v>
      </c>
      <c r="B10" s="1" t="s">
        <v>46</v>
      </c>
    </row>
    <row r="11" spans="1:4" x14ac:dyDescent="0.3">
      <c r="A11" s="10"/>
      <c r="C11" t="s">
        <v>41</v>
      </c>
    </row>
    <row r="12" spans="1:4" x14ac:dyDescent="0.3">
      <c r="A12" s="10"/>
      <c r="C12" t="s">
        <v>43</v>
      </c>
    </row>
    <row r="13" spans="1:4" ht="172.8" x14ac:dyDescent="0.3">
      <c r="A13" s="10"/>
      <c r="C13" s="1" t="s">
        <v>44</v>
      </c>
    </row>
    <row r="14" spans="1:4" x14ac:dyDescent="0.3">
      <c r="A14" s="10">
        <v>3</v>
      </c>
      <c r="B14" s="1" t="s">
        <v>45</v>
      </c>
    </row>
    <row r="15" spans="1:4" x14ac:dyDescent="0.3">
      <c r="A15" s="10">
        <v>4</v>
      </c>
      <c r="B15" s="1" t="s">
        <v>47</v>
      </c>
    </row>
    <row r="16" spans="1:4" x14ac:dyDescent="0.3">
      <c r="A16" s="10">
        <v>5</v>
      </c>
      <c r="B16" s="1" t="s">
        <v>31</v>
      </c>
    </row>
    <row r="17" spans="1:4" x14ac:dyDescent="0.3">
      <c r="A17" s="10"/>
      <c r="B17" s="11"/>
      <c r="C17" s="2" t="s">
        <v>48</v>
      </c>
      <c r="D17" t="str">
        <f>_xlfn.CONCAT("sudo mv /srv/dev-disk-by-uuid-",$C$4,"/",$C$6," ","/srv/dev-disk-by-uuid-",$C$4,"/",$C$5)</f>
        <v>sudo mv /srv/dev-disk-by-uuid-xxxxxxxx-xxxx-xxxx-xxxx-xxxxxxxxxxxx/Original-Share-Temp /srv/dev-disk-by-uuid-xxxxxxxx-xxxx-xxxx-xxxx-xxxxxxxxxxxx/Original-Share</v>
      </c>
    </row>
    <row r="18" spans="1:4" x14ac:dyDescent="0.3">
      <c r="A18" s="10"/>
      <c r="C18" s="16" t="s">
        <v>49</v>
      </c>
      <c r="D18" t="str">
        <f>_xlfn.CONCAT("sudo mv /srv/dev-disk-by-uuid-",$C$4,"/",$C$5,"/",$C$6,"/* ","/srv/dev-disk-by-uuid-",$C$4,"/",$C$5,"/")</f>
        <v>sudo mv /srv/dev-disk-by-uuid-xxxxxxxx-xxxx-xxxx-xxxx-xxxxxxxxxxxx/Original-Share/Original-Share-Temp/* /srv/dev-disk-by-uuid-xxxxxxxx-xxxx-xxxx-xxxx-xxxxxxxxxxxx/Original-Share/</v>
      </c>
    </row>
    <row r="19" spans="1:4" ht="14.4" customHeight="1" x14ac:dyDescent="0.3">
      <c r="A19" s="10"/>
      <c r="C19" s="16"/>
      <c r="D19" t="str">
        <f>_xlfn.CONCAT("sudo mv /srv/dev-disk-by-uuid-",$C$4,"/",$C$5,"/",$C$6,"/.* ","/srv/dev-disk-by-uuid-",$C$4,"/",$C$5,"/")</f>
        <v>sudo mv /srv/dev-disk-by-uuid-xxxxxxxx-xxxx-xxxx-xxxx-xxxxxxxxxxxx/Original-Share/Original-Share-Temp/.* /srv/dev-disk-by-uuid-xxxxxxxx-xxxx-xxxx-xxxx-xxxxxxxxxxxx/Original-Share/</v>
      </c>
    </row>
    <row r="20" spans="1:4" x14ac:dyDescent="0.3">
      <c r="A20" s="10"/>
      <c r="C20" s="16"/>
      <c r="D20" t="str">
        <f>_xlfn.CONCAT("rmdir /srv/dev-disk-by-uuid-",$C$4,"/",$C$5,"/",$C$6)</f>
        <v>rmdir /srv/dev-disk-by-uuid-xxxxxxxx-xxxx-xxxx-xxxx-xxxxxxxxxxxx/Original-Share/Original-Share-Temp</v>
      </c>
    </row>
    <row r="21" spans="1:4" x14ac:dyDescent="0.3">
      <c r="A21" s="10">
        <v>6</v>
      </c>
      <c r="B21" s="1" t="s">
        <v>33</v>
      </c>
    </row>
  </sheetData>
  <mergeCells count="7">
    <mergeCell ref="B8:C8"/>
    <mergeCell ref="C18:C20"/>
    <mergeCell ref="A1:C1"/>
    <mergeCell ref="A3:C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 Encryption Steps</vt:lpstr>
      <vt:lpstr>File Migration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Gandhi</dc:creator>
  <cp:lastModifiedBy>Abhi Gandhi</cp:lastModifiedBy>
  <dcterms:created xsi:type="dcterms:W3CDTF">2026-03-30T15:12:14Z</dcterms:created>
  <dcterms:modified xsi:type="dcterms:W3CDTF">2026-04-02T17:18:36Z</dcterms:modified>
</cp:coreProperties>
</file>